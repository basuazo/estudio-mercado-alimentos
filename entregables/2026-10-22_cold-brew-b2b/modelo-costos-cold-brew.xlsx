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Costos por litro" sheetId="2" state="visible" r:id="rId4"/>
    <sheet name="Equilibrio" sheetId="3" state="visible" r:id="rId5"/>
    <sheet name="Maquila vs cocina" sheetId="4" state="visible" r:id="rId6"/>
    <sheet name="Cliente e inversió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<sst xmlns="http://schemas.openxmlformats.org/spreadsheetml/2006/main" count="242" uniqueCount="129">
  <si>
    <t xml:space="preserve">Cold brew B2B Santiago: supuestos del modelo</t>
  </si>
  <si>
    <t xml:space="preserve">Editar solo las celdas azules (amarillas = supuestos clave). Tipo C = dato citado; S = supuesto por medir o cotizar. Fuentes capturadas el 22-oct-2026.</t>
  </si>
  <si>
    <t xml:space="preserve">Supuesto</t>
  </si>
  <si>
    <t xml:space="preserve">Valor</t>
  </si>
  <si>
    <t xml:space="preserve">Unidad</t>
  </si>
  <si>
    <t xml:space="preserve">Tipo</t>
  </si>
  <si>
    <t xml:space="preserve">Fuente / nota</t>
  </si>
  <si>
    <t xml:space="preserve">Rendimiento de concentrado</t>
  </si>
  <si>
    <t xml:space="preserve">L por kg de café</t>
  </si>
  <si>
    <t xml:space="preserve">C</t>
  </si>
  <si>
    <t xml:space="preserve">Toddy: 2,27 kg -&gt; 9,46 L (1:5) https://argo.webstaurantstore.com/toddy-5-gallon-commercial-cold-brew-system-with-lift/975CMLTCM.html</t>
  </si>
  <si>
    <t xml:space="preserve">Café tostado comercial</t>
  </si>
  <si>
    <t xml:space="preserve">CLP/kg</t>
  </si>
  <si>
    <t xml:space="preserve">cafealmayor.cl, 36+ kg https://cafealmayor.cl/tienda/</t>
  </si>
  <si>
    <t xml:space="preserve">Café de especialidad</t>
  </si>
  <si>
    <t xml:space="preserve">tuesta.cl (27.990) / Luz Tostadores mayorista (29.736)</t>
  </si>
  <si>
    <t xml:space="preserve">Filtro de papel</t>
  </si>
  <si>
    <t xml:space="preserve">CLP/L</t>
  </si>
  <si>
    <t xml:space="preserve">Toddy US$1,50 por 9,46 L</t>
  </si>
  <si>
    <t xml:space="preserve">Agua y energía</t>
  </si>
  <si>
    <t xml:space="preserve">S</t>
  </si>
  <si>
    <t xml:space="preserve">Estimado</t>
  </si>
  <si>
    <t xml:space="preserve">Envase bag-in-box</t>
  </si>
  <si>
    <t xml:space="preserve">Bolsa ~140/L (baginbox.store, C) + caja y flete (S)</t>
  </si>
  <si>
    <t xml:space="preserve">Envase botella vidrio 1 L</t>
  </si>
  <si>
    <t xml:space="preserve">https://cristalpack.cl/producto/botella-vidrio-de-1-litro/</t>
  </si>
  <si>
    <t xml:space="preserve">Merma por vencimiento</t>
  </si>
  <si>
    <t xml:space="preserve">fracción</t>
  </si>
  <si>
    <t xml:space="preserve">Vida útil de 7 días; con bag-in-box de 10 L puede ser mucho mayor (equipo rojo)</t>
  </si>
  <si>
    <t xml:space="preserve">Concentrado por vaso</t>
  </si>
  <si>
    <t xml:space="preserve">ml</t>
  </si>
  <si>
    <t xml:space="preserve">Dilución 1:2 (~240 ml + hielo); Tuesta usa ~50 ml</t>
  </si>
  <si>
    <t xml:space="preserve">Costo por visita de despacho</t>
  </si>
  <si>
    <t xml:space="preserve">CLP/visita</t>
  </si>
  <si>
    <t xml:space="preserve">Ruta propia ~10 visitas/día a ~40.000 CLP/día</t>
  </si>
  <si>
    <t xml:space="preserve">Visitas por cuenta al mes</t>
  </si>
  <si>
    <t xml:space="preserve">visitas/mes</t>
  </si>
  <si>
    <t xml:space="preserve">1 visita semanal por la vida útil</t>
  </si>
  <si>
    <t xml:space="preserve">Precio neto granel</t>
  </si>
  <si>
    <t xml:space="preserve">Porción de 80 ml = 720 CLP</t>
  </si>
  <si>
    <t xml:space="preserve">Precio neto botella 1 L</t>
  </si>
  <si>
    <t xml:space="preserve">Bajo Briu (13.990 con IVA = 11.756 neto)</t>
  </si>
  <si>
    <t xml:space="preserve">Operador media jornada</t>
  </si>
  <si>
    <t xml:space="preserve">CLP/mes</t>
  </si>
  <si>
    <t xml:space="preserve">Con leyes sociales</t>
  </si>
  <si>
    <t xml:space="preserve">Cocina CoCook 48 h</t>
  </si>
  <si>
    <t xml:space="preserve">https://cocook.cl/cuanto-cuesta-producir-alimentos-en-santiago/</t>
  </si>
  <si>
    <t xml:space="preserve">Módulo Kutt 18 m2 + servicios</t>
  </si>
  <si>
    <t xml:space="preserve">UF 25,2 + IVA (~1.038.000, C) + servicios 100.000 (S)</t>
  </si>
  <si>
    <t xml:space="preserve">Consumo cafetería, verano</t>
  </si>
  <si>
    <t xml:space="preserve">L/mes</t>
  </si>
  <si>
    <t xml:space="preserve">Supuesto más frágil: medir con el POS de los pilotos</t>
  </si>
  <si>
    <t xml:space="preserve">Consumo cafetería, invierno</t>
  </si>
  <si>
    <t xml:space="preserve">Consumo oficina, verano</t>
  </si>
  <si>
    <t xml:space="preserve">Consumo oficina, invierno</t>
  </si>
  <si>
    <t xml:space="preserve">Precio neto del vaso al público</t>
  </si>
  <si>
    <t xml:space="preserve">CLP</t>
  </si>
  <si>
    <t xml:space="preserve">4.400 con IVA (Starbucks, Rappi)</t>
  </si>
  <si>
    <t xml:space="preserve">Horas de barista por 10 L (si la cafetería lo prepara)</t>
  </si>
  <si>
    <t xml:space="preserve">h</t>
  </si>
  <si>
    <t xml:space="preserve">Costo hora de barista</t>
  </si>
  <si>
    <t xml:space="preserve">CLP/h</t>
  </si>
  <si>
    <t xml:space="preserve">Sueldo mínimo 539.000 + leyes</t>
  </si>
  <si>
    <t xml:space="preserve">Tanque de extracción 190 L</t>
  </si>
  <si>
    <t xml:space="preserve">CLP c/u</t>
  </si>
  <si>
    <t xml:space="preserve">KegOutlet US$1.199,95</t>
  </si>
  <si>
    <t xml:space="preserve">Número de tanques</t>
  </si>
  <si>
    <t xml:space="preserve">u</t>
  </si>
  <si>
    <t xml:space="preserve">Recargo por flete e impuestos de importación</t>
  </si>
  <si>
    <t xml:space="preserve">Refrigerador vertical 1.300 L</t>
  </si>
  <si>
    <t xml:space="preserve">paris.cl (Norkalt)</t>
  </si>
  <si>
    <t xml:space="preserve">pH-metro, refractómetro, utensilios</t>
  </si>
  <si>
    <t xml:space="preserve">Estudio de desafío y vida útil</t>
  </si>
  <si>
    <t xml:space="preserve">Por cotizar (SGS, CECTA-USACH, Eurofins)</t>
  </si>
  <si>
    <t xml:space="preserve">Resolución sanitaria y trámites</t>
  </si>
  <si>
    <t xml:space="preserve">Arancel 12.100-899.700 (ChileAtiende)</t>
  </si>
  <si>
    <t xml:space="preserve">Kit nitro por cuenta (kit + barril + tanque N2)</t>
  </si>
  <si>
    <t xml:space="preserve">USD</t>
  </si>
  <si>
    <t xml:space="preserve">KegOutlet</t>
  </si>
  <si>
    <t xml:space="preserve">Dólar observado</t>
  </si>
  <si>
    <t xml:space="preserve">CLP/USD</t>
  </si>
  <si>
    <t xml:space="preserve">20-oct-2026</t>
  </si>
  <si>
    <t xml:space="preserve">Costo variable y margen por litro de concentrado</t>
  </si>
  <si>
    <t xml:space="preserve">Escenario</t>
  </si>
  <si>
    <t xml:space="preserve">Café (CLP/kg)</t>
  </si>
  <si>
    <t xml:space="preserve">Envase (CLP/L)</t>
  </si>
  <si>
    <t xml:space="preserve">Costo variable (CLP/L)</t>
  </si>
  <si>
    <t xml:space="preserve">Costo por porción (CLP)</t>
  </si>
  <si>
    <t xml:space="preserve">Precio neto (CLP/L)</t>
  </si>
  <si>
    <t xml:space="preserve">Margen bruto</t>
  </si>
  <si>
    <t xml:space="preserve">Granel, café comercial</t>
  </si>
  <si>
    <t xml:space="preserve">Botella 1 L, café comercial</t>
  </si>
  <si>
    <t xml:space="preserve">Granel, café de especialidad</t>
  </si>
  <si>
    <t xml:space="preserve">Botella 1 L, café de especialidad</t>
  </si>
  <si>
    <t xml:space="preserve">Costo variable = (café / rendimiento + filtro + agua y energía + envase) / (1 - merma). No incluye arriendo, operador ni despacho.</t>
  </si>
  <si>
    <t xml:space="preserve">Cuentas necesarias para cubrir costos fijos (granel, café comercial)</t>
  </si>
  <si>
    <t xml:space="preserve">Cocina</t>
  </si>
  <si>
    <t xml:space="preserve">Operador</t>
  </si>
  <si>
    <t xml:space="preserve">Tipo de cuenta</t>
  </si>
  <si>
    <t xml:space="preserve">Temporada</t>
  </si>
  <si>
    <t xml:space="preserve">Costo fijo (CLP/mes)</t>
  </si>
  <si>
    <t xml:space="preserve">L por cuenta al mes</t>
  </si>
  <si>
    <t xml:space="preserve">Contribución por cuenta (CLP/mes)</t>
  </si>
  <si>
    <t xml:space="preserve">Cuentas para equilibrio</t>
  </si>
  <si>
    <t xml:space="preserve">Litros al mes en equilibrio</t>
  </si>
  <si>
    <t xml:space="preserve">CoCook 48 h</t>
  </si>
  <si>
    <t xml:space="preserve">Socios sin sueldo</t>
  </si>
  <si>
    <t xml:space="preserve">Cafetería o restaurante</t>
  </si>
  <si>
    <t xml:space="preserve">Verano</t>
  </si>
  <si>
    <t xml:space="preserve">Invierno</t>
  </si>
  <si>
    <t xml:space="preserve">Oficina o coworking</t>
  </si>
  <si>
    <t xml:space="preserve">Con operador</t>
  </si>
  <si>
    <t xml:space="preserve">Kutt 18 m2</t>
  </si>
  <si>
    <t xml:space="preserve">Tarifa máxima de maquila para igualar a la dark kitchen (con operador)</t>
  </si>
  <si>
    <t xml:space="preserve">Volumen (L/mes)</t>
  </si>
  <si>
    <t xml:space="preserve">Tarifa máxima de maquila (CLP/L)</t>
  </si>
  <si>
    <t xml:space="preserve">Si la maquila cobra más que esta tarifa por litro (además del café y el envase), conviene producir en la cocina.</t>
  </si>
  <si>
    <t xml:space="preserve">Lado del cliente e inversión inicial</t>
  </si>
  <si>
    <t xml:space="preserve">Indicador</t>
  </si>
  <si>
    <t xml:space="preserve">Costo por litro si la cafetería lo prepara ella misma</t>
  </si>
  <si>
    <t xml:space="preserve">Costo por porción si nos compra</t>
  </si>
  <si>
    <t xml:space="preserve">CLP/porción</t>
  </si>
  <si>
    <t xml:space="preserve">Margen del cliente por vaso</t>
  </si>
  <si>
    <t xml:space="preserve">%</t>
  </si>
  <si>
    <t xml:space="preserve">Inversión inicial: equipos, laboratorio y trámites</t>
  </si>
  <si>
    <t xml:space="preserve">Kit nitro en comodato por cuenta</t>
  </si>
  <si>
    <t xml:space="preserve">CLP/cuenta</t>
  </si>
  <si>
    <t xml:space="preserve">Meses para recuperar un kit nitro (cafetería, verano)</t>
  </si>
  <si>
    <t xml:space="preserve">meses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</si>
</sst>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;\(#,##0\);\-"/>
    <numFmt numFmtId="167" formatCode="0.0%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" hidden="false" customHeight="false" outlineLevel="0" collapsed="false">
      <c r="A4" s="4" t="s">
        <v>7</v>
      </c>
      <c r="B4" s="5" t="n">
        <v>4.17</v>
      </c>
      <c r="C4" s="4" t="s">
        <v>8</v>
      </c>
      <c r="D4" s="4" t="s">
        <v>9</v>
      </c>
      <c r="E4" s="4" t="s">
        <v>10</v>
      </c>
    </row>
    <row r="5" customFormat="false" ht="15" hidden="false" customHeight="false" outlineLevel="0" collapsed="false">
      <c r="A5" s="4" t="s">
        <v>11</v>
      </c>
      <c r="B5" s="6" t="n">
        <v>16990</v>
      </c>
      <c r="C5" s="4" t="s">
        <v>12</v>
      </c>
      <c r="D5" s="4" t="s">
        <v>9</v>
      </c>
      <c r="E5" s="4" t="s">
        <v>13</v>
      </c>
    </row>
    <row r="6" customFormat="false" ht="15" hidden="false" customHeight="false" outlineLevel="0" collapsed="false">
      <c r="A6" s="4" t="s">
        <v>14</v>
      </c>
      <c r="B6" s="6" t="n">
        <v>28000</v>
      </c>
      <c r="C6" s="4" t="s">
        <v>12</v>
      </c>
      <c r="D6" s="4" t="s">
        <v>9</v>
      </c>
      <c r="E6" s="4" t="s">
        <v>15</v>
      </c>
    </row>
    <row r="7" customFormat="false" ht="15" hidden="false" customHeight="false" outlineLevel="0" collapsed="false">
      <c r="A7" s="4" t="s">
        <v>16</v>
      </c>
      <c r="B7" s="6" t="n">
        <v>156</v>
      </c>
      <c r="C7" s="4" t="s">
        <v>17</v>
      </c>
      <c r="D7" s="4" t="s">
        <v>9</v>
      </c>
      <c r="E7" s="4" t="s">
        <v>18</v>
      </c>
    </row>
    <row r="8" customFormat="false" ht="15" hidden="false" customHeight="false" outlineLevel="0" collapsed="false">
      <c r="A8" s="4" t="s">
        <v>19</v>
      </c>
      <c r="B8" s="6" t="n">
        <v>30</v>
      </c>
      <c r="C8" s="4" t="s">
        <v>17</v>
      </c>
      <c r="D8" s="4" t="s">
        <v>20</v>
      </c>
      <c r="E8" s="4" t="s">
        <v>21</v>
      </c>
    </row>
    <row r="9" customFormat="false" ht="15" hidden="false" customHeight="false" outlineLevel="0" collapsed="false">
      <c r="A9" s="4" t="s">
        <v>22</v>
      </c>
      <c r="B9" s="6" t="n">
        <v>300</v>
      </c>
      <c r="C9" s="4" t="s">
        <v>17</v>
      </c>
      <c r="D9" s="4" t="s">
        <v>20</v>
      </c>
      <c r="E9" s="4" t="s">
        <v>23</v>
      </c>
    </row>
    <row r="10" customFormat="false" ht="15" hidden="false" customHeight="false" outlineLevel="0" collapsed="false">
      <c r="A10" s="4" t="s">
        <v>24</v>
      </c>
      <c r="B10" s="6" t="n">
        <v>818</v>
      </c>
      <c r="C10" s="4" t="s">
        <v>17</v>
      </c>
      <c r="D10" s="4" t="s">
        <v>9</v>
      </c>
      <c r="E10" s="4" t="s">
        <v>25</v>
      </c>
    </row>
    <row r="11" customFormat="false" ht="15" hidden="false" customHeight="false" outlineLevel="0" collapsed="false">
      <c r="A11" s="4" t="s">
        <v>26</v>
      </c>
      <c r="B11" s="7" t="n">
        <v>0.1</v>
      </c>
      <c r="C11" s="4" t="s">
        <v>27</v>
      </c>
      <c r="D11" s="4" t="s">
        <v>20</v>
      </c>
      <c r="E11" s="4" t="s">
        <v>28</v>
      </c>
    </row>
    <row r="12" customFormat="false" ht="15" hidden="false" customHeight="false" outlineLevel="0" collapsed="false">
      <c r="A12" s="4" t="s">
        <v>29</v>
      </c>
      <c r="B12" s="8" t="n">
        <v>80</v>
      </c>
      <c r="C12" s="4" t="s">
        <v>30</v>
      </c>
      <c r="D12" s="4" t="s">
        <v>20</v>
      </c>
      <c r="E12" s="4" t="s">
        <v>31</v>
      </c>
    </row>
    <row r="13" customFormat="false" ht="15" hidden="false" customHeight="false" outlineLevel="0" collapsed="false">
      <c r="A13" s="4" t="s">
        <v>32</v>
      </c>
      <c r="B13" s="8" t="n">
        <v>4000</v>
      </c>
      <c r="C13" s="4" t="s">
        <v>33</v>
      </c>
      <c r="D13" s="4" t="s">
        <v>20</v>
      </c>
      <c r="E13" s="4" t="s">
        <v>34</v>
      </c>
    </row>
    <row r="14" customFormat="false" ht="15" hidden="false" customHeight="false" outlineLevel="0" collapsed="false">
      <c r="A14" s="4" t="s">
        <v>35</v>
      </c>
      <c r="B14" s="9" t="n">
        <v>4.3</v>
      </c>
      <c r="C14" s="4" t="s">
        <v>36</v>
      </c>
      <c r="D14" s="4" t="s">
        <v>20</v>
      </c>
      <c r="E14" s="4" t="s">
        <v>37</v>
      </c>
    </row>
    <row r="15" customFormat="false" ht="15" hidden="false" customHeight="false" outlineLevel="0" collapsed="false">
      <c r="A15" s="4" t="s">
        <v>38</v>
      </c>
      <c r="B15" s="8" t="n">
        <v>9000</v>
      </c>
      <c r="C15" s="4" t="s">
        <v>17</v>
      </c>
      <c r="D15" s="4" t="s">
        <v>20</v>
      </c>
      <c r="E15" s="4" t="s">
        <v>39</v>
      </c>
    </row>
    <row r="16" customFormat="false" ht="15" hidden="false" customHeight="false" outlineLevel="0" collapsed="false">
      <c r="A16" s="4" t="s">
        <v>40</v>
      </c>
      <c r="B16" s="8" t="n">
        <v>11000</v>
      </c>
      <c r="C16" s="4" t="s">
        <v>17</v>
      </c>
      <c r="D16" s="4" t="s">
        <v>20</v>
      </c>
      <c r="E16" s="4" t="s">
        <v>41</v>
      </c>
    </row>
    <row r="17" customFormat="false" ht="15" hidden="false" customHeight="false" outlineLevel="0" collapsed="false">
      <c r="A17" s="4" t="s">
        <v>42</v>
      </c>
      <c r="B17" s="6" t="n">
        <v>400000</v>
      </c>
      <c r="C17" s="4" t="s">
        <v>43</v>
      </c>
      <c r="D17" s="4" t="s">
        <v>20</v>
      </c>
      <c r="E17" s="4" t="s">
        <v>44</v>
      </c>
    </row>
    <row r="18" customFormat="false" ht="15" hidden="false" customHeight="false" outlineLevel="0" collapsed="false">
      <c r="A18" s="4" t="s">
        <v>45</v>
      </c>
      <c r="B18" s="6" t="n">
        <v>575520</v>
      </c>
      <c r="C18" s="4" t="s">
        <v>43</v>
      </c>
      <c r="D18" s="4" t="s">
        <v>9</v>
      </c>
      <c r="E18" s="4" t="s">
        <v>46</v>
      </c>
    </row>
    <row r="19" customFormat="false" ht="15" hidden="false" customHeight="false" outlineLevel="0" collapsed="false">
      <c r="A19" s="4" t="s">
        <v>47</v>
      </c>
      <c r="B19" s="6" t="n">
        <v>1138000</v>
      </c>
      <c r="C19" s="4" t="s">
        <v>43</v>
      </c>
      <c r="D19" s="4" t="s">
        <v>9</v>
      </c>
      <c r="E19" s="4" t="s">
        <v>48</v>
      </c>
    </row>
    <row r="20" customFormat="false" ht="15" hidden="false" customHeight="false" outlineLevel="0" collapsed="false">
      <c r="A20" s="4" t="s">
        <v>49</v>
      </c>
      <c r="B20" s="8" t="n">
        <v>24</v>
      </c>
      <c r="C20" s="4" t="s">
        <v>50</v>
      </c>
      <c r="D20" s="4" t="s">
        <v>20</v>
      </c>
      <c r="E20" s="4" t="s">
        <v>51</v>
      </c>
    </row>
    <row r="21" customFormat="false" ht="15" hidden="false" customHeight="false" outlineLevel="0" collapsed="false">
      <c r="A21" s="4" t="s">
        <v>52</v>
      </c>
      <c r="B21" s="8" t="n">
        <v>10</v>
      </c>
      <c r="C21" s="4" t="s">
        <v>50</v>
      </c>
      <c r="D21" s="4" t="s">
        <v>20</v>
      </c>
      <c r="E21" s="4"/>
    </row>
    <row r="22" customFormat="false" ht="15" hidden="false" customHeight="false" outlineLevel="0" collapsed="false">
      <c r="A22" s="4" t="s">
        <v>53</v>
      </c>
      <c r="B22" s="6" t="n">
        <v>16</v>
      </c>
      <c r="C22" s="4" t="s">
        <v>50</v>
      </c>
      <c r="D22" s="4" t="s">
        <v>20</v>
      </c>
      <c r="E22" s="4"/>
    </row>
    <row r="23" customFormat="false" ht="15" hidden="false" customHeight="false" outlineLevel="0" collapsed="false">
      <c r="A23" s="4" t="s">
        <v>54</v>
      </c>
      <c r="B23" s="6" t="n">
        <v>8</v>
      </c>
      <c r="C23" s="4" t="s">
        <v>50</v>
      </c>
      <c r="D23" s="4" t="s">
        <v>20</v>
      </c>
      <c r="E23" s="4"/>
    </row>
    <row r="24" customFormat="false" ht="15" hidden="false" customHeight="false" outlineLevel="0" collapsed="false">
      <c r="A24" s="4" t="s">
        <v>55</v>
      </c>
      <c r="B24" s="6" t="n">
        <v>3700</v>
      </c>
      <c r="C24" s="4" t="s">
        <v>56</v>
      </c>
      <c r="D24" s="4" t="s">
        <v>9</v>
      </c>
      <c r="E24" s="4" t="s">
        <v>57</v>
      </c>
    </row>
    <row r="25" customFormat="false" ht="15" hidden="false" customHeight="false" outlineLevel="0" collapsed="false">
      <c r="A25" s="4" t="s">
        <v>58</v>
      </c>
      <c r="B25" s="6" t="n">
        <v>2</v>
      </c>
      <c r="C25" s="4" t="s">
        <v>59</v>
      </c>
      <c r="D25" s="4" t="s">
        <v>20</v>
      </c>
      <c r="E25" s="4"/>
    </row>
    <row r="26" customFormat="false" ht="15" hidden="false" customHeight="false" outlineLevel="0" collapsed="false">
      <c r="A26" s="4" t="s">
        <v>60</v>
      </c>
      <c r="B26" s="6" t="n">
        <v>5000</v>
      </c>
      <c r="C26" s="4" t="s">
        <v>61</v>
      </c>
      <c r="D26" s="4" t="s">
        <v>20</v>
      </c>
      <c r="E26" s="4" t="s">
        <v>62</v>
      </c>
    </row>
    <row r="27" customFormat="false" ht="15" hidden="false" customHeight="false" outlineLevel="0" collapsed="false">
      <c r="A27" s="4" t="s">
        <v>63</v>
      </c>
      <c r="B27" s="6" t="n">
        <v>1178000</v>
      </c>
      <c r="C27" s="4" t="s">
        <v>64</v>
      </c>
      <c r="D27" s="4" t="s">
        <v>9</v>
      </c>
      <c r="E27" s="4" t="s">
        <v>65</v>
      </c>
    </row>
    <row r="28" customFormat="false" ht="15" hidden="false" customHeight="false" outlineLevel="0" collapsed="false">
      <c r="A28" s="4" t="s">
        <v>66</v>
      </c>
      <c r="B28" s="6" t="n">
        <v>2</v>
      </c>
      <c r="C28" s="4" t="s">
        <v>67</v>
      </c>
      <c r="D28" s="4" t="s">
        <v>20</v>
      </c>
      <c r="E28" s="4"/>
    </row>
    <row r="29" customFormat="false" ht="15" hidden="false" customHeight="false" outlineLevel="0" collapsed="false">
      <c r="A29" s="4" t="s">
        <v>68</v>
      </c>
      <c r="B29" s="10" t="n">
        <v>0.3</v>
      </c>
      <c r="C29" s="4" t="s">
        <v>27</v>
      </c>
      <c r="D29" s="4" t="s">
        <v>20</v>
      </c>
      <c r="E29" s="4"/>
    </row>
    <row r="30" customFormat="false" ht="15" hidden="false" customHeight="false" outlineLevel="0" collapsed="false">
      <c r="A30" s="4" t="s">
        <v>69</v>
      </c>
      <c r="B30" s="6" t="n">
        <v>2130490</v>
      </c>
      <c r="C30" s="4" t="s">
        <v>56</v>
      </c>
      <c r="D30" s="4" t="s">
        <v>9</v>
      </c>
      <c r="E30" s="4" t="s">
        <v>70</v>
      </c>
    </row>
    <row r="31" customFormat="false" ht="15" hidden="false" customHeight="false" outlineLevel="0" collapsed="false">
      <c r="A31" s="4" t="s">
        <v>71</v>
      </c>
      <c r="B31" s="6" t="n">
        <v>500000</v>
      </c>
      <c r="C31" s="4" t="s">
        <v>56</v>
      </c>
      <c r="D31" s="4" t="s">
        <v>20</v>
      </c>
      <c r="E31" s="4"/>
    </row>
    <row r="32" customFormat="false" ht="15" hidden="false" customHeight="false" outlineLevel="0" collapsed="false">
      <c r="A32" s="4" t="s">
        <v>72</v>
      </c>
      <c r="B32" s="6" t="n">
        <v>1500000</v>
      </c>
      <c r="C32" s="4" t="s">
        <v>56</v>
      </c>
      <c r="D32" s="4" t="s">
        <v>20</v>
      </c>
      <c r="E32" s="4" t="s">
        <v>73</v>
      </c>
    </row>
    <row r="33" customFormat="false" ht="15" hidden="false" customHeight="false" outlineLevel="0" collapsed="false">
      <c r="A33" s="4" t="s">
        <v>74</v>
      </c>
      <c r="B33" s="6" t="n">
        <v>300000</v>
      </c>
      <c r="C33" s="4" t="s">
        <v>56</v>
      </c>
      <c r="D33" s="4" t="s">
        <v>9</v>
      </c>
      <c r="E33" s="4" t="s">
        <v>75</v>
      </c>
    </row>
    <row r="34" customFormat="false" ht="15" hidden="false" customHeight="false" outlineLevel="0" collapsed="false">
      <c r="A34" s="4" t="s">
        <v>76</v>
      </c>
      <c r="B34" s="9" t="n">
        <v>540.79</v>
      </c>
      <c r="C34" s="4" t="s">
        <v>77</v>
      </c>
      <c r="D34" s="4" t="s">
        <v>9</v>
      </c>
      <c r="E34" s="4" t="s">
        <v>78</v>
      </c>
    </row>
    <row r="35" customFormat="false" ht="15" hidden="false" customHeight="false" outlineLevel="0" collapsed="false">
      <c r="A35" s="4" t="s">
        <v>79</v>
      </c>
      <c r="B35" s="9" t="n">
        <v>981.86</v>
      </c>
      <c r="C35" s="4" t="s">
        <v>80</v>
      </c>
      <c r="D35" s="4" t="s">
        <v>9</v>
      </c>
      <c r="E35" s="4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82</v>
      </c>
    </row>
    <row r="3" customFormat="false" ht="15" hidden="false" customHeight="false" outlineLevel="0" collapsed="false">
      <c r="A3" s="3" t="s">
        <v>83</v>
      </c>
      <c r="B3" s="3" t="s">
        <v>84</v>
      </c>
      <c r="C3" s="3" t="s">
        <v>85</v>
      </c>
      <c r="D3" s="3" t="s">
        <v>86</v>
      </c>
      <c r="E3" s="3" t="s">
        <v>87</v>
      </c>
      <c r="F3" s="3" t="s">
        <v>88</v>
      </c>
      <c r="G3" s="3" t="s">
        <v>89</v>
      </c>
    </row>
    <row r="4" customFormat="false" ht="15" hidden="false" customHeight="false" outlineLevel="0" collapsed="false">
      <c r="A4" s="4" t="s">
        <v>90</v>
      </c>
      <c r="B4" s="11" t="n">
        <f aca="false">Supuestos!$B$5</f>
        <v>16990</v>
      </c>
      <c r="C4" s="11" t="n">
        <f aca="false">Supuestos!$B$9</f>
        <v>300</v>
      </c>
      <c r="D4" s="12" t="n">
        <f aca="false">(B4/Supuestos!$B$4+Supuestos!$B$7+Supuestos!$B$8+C4)/(1-Supuestos!$B$11)</f>
        <v>5067.04503064215</v>
      </c>
      <c r="E4" s="12" t="n">
        <f aca="false">D4*Supuestos!$B$12/1000</f>
        <v>405.363602451372</v>
      </c>
      <c r="F4" s="11" t="n">
        <f aca="false">Supuestos!$B$15</f>
        <v>9000</v>
      </c>
      <c r="G4" s="13" t="n">
        <f aca="false">IF(F4=0,0,(F4-D4)/F4)</f>
        <v>0.436994996595316</v>
      </c>
    </row>
    <row r="5" customFormat="false" ht="15" hidden="false" customHeight="false" outlineLevel="0" collapsed="false">
      <c r="A5" s="4" t="s">
        <v>91</v>
      </c>
      <c r="B5" s="11" t="n">
        <f aca="false">Supuestos!$B$5</f>
        <v>16990</v>
      </c>
      <c r="C5" s="11" t="n">
        <f aca="false">Supuestos!$B$10</f>
        <v>818</v>
      </c>
      <c r="D5" s="12" t="n">
        <f aca="false">(B5/Supuestos!$B$4+Supuestos!$B$7+Supuestos!$B$8+C5)/(1-Supuestos!$B$11)</f>
        <v>5642.60058619771</v>
      </c>
      <c r="E5" s="12" t="n">
        <f aca="false">D5*Supuestos!$B$12/1000</f>
        <v>451.408046895817</v>
      </c>
      <c r="F5" s="11" t="n">
        <f aca="false">Supuestos!$B$16</f>
        <v>11000</v>
      </c>
      <c r="G5" s="13" t="n">
        <f aca="false">IF(F5=0,0,(F5-D5)/F5)</f>
        <v>0.487036310345663</v>
      </c>
    </row>
    <row r="6" customFormat="false" ht="15" hidden="false" customHeight="false" outlineLevel="0" collapsed="false">
      <c r="A6" s="4" t="s">
        <v>92</v>
      </c>
      <c r="B6" s="11" t="n">
        <f aca="false">Supuestos!$B$6</f>
        <v>28000</v>
      </c>
      <c r="C6" s="11" t="n">
        <f aca="false">Supuestos!$B$9</f>
        <v>300</v>
      </c>
      <c r="D6" s="12" t="n">
        <f aca="false">(B6/Supuestos!$B$4+Supuestos!$B$7+Supuestos!$B$8+C6)/(1-Supuestos!$B$11)</f>
        <v>8000.69810818012</v>
      </c>
      <c r="E6" s="12" t="n">
        <f aca="false">D6*Supuestos!$B$12/1000</f>
        <v>640.05584865441</v>
      </c>
      <c r="F6" s="11" t="n">
        <f aca="false">Supuestos!$B$15</f>
        <v>9000</v>
      </c>
      <c r="G6" s="13" t="n">
        <f aca="false">IF(F6=0,0,(F6-D6)/F6)</f>
        <v>0.111033543535542</v>
      </c>
    </row>
    <row r="7" customFormat="false" ht="15" hidden="false" customHeight="false" outlineLevel="0" collapsed="false">
      <c r="A7" s="4" t="s">
        <v>93</v>
      </c>
      <c r="B7" s="11" t="n">
        <f aca="false">Supuestos!$B$6</f>
        <v>28000</v>
      </c>
      <c r="C7" s="11" t="n">
        <f aca="false">Supuestos!$B$10</f>
        <v>818</v>
      </c>
      <c r="D7" s="12" t="n">
        <f aca="false">(B7/Supuestos!$B$4+Supuestos!$B$7+Supuestos!$B$8+C7)/(1-Supuestos!$B$11)</f>
        <v>8576.25366373568</v>
      </c>
      <c r="E7" s="12" t="n">
        <f aca="false">D7*Supuestos!$B$12/1000</f>
        <v>686.100293098854</v>
      </c>
      <c r="F7" s="11" t="n">
        <f aca="false">Supuestos!$B$16</f>
        <v>11000</v>
      </c>
      <c r="G7" s="13" t="n">
        <f aca="false">IF(F7=0,0,(F7-D7)/F7)</f>
        <v>0.220340576024029</v>
      </c>
    </row>
    <row r="9" customFormat="false" ht="15" hidden="false" customHeight="false" outlineLevel="0" collapsed="false">
      <c r="A9" s="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95</v>
      </c>
    </row>
    <row r="3" customFormat="false" ht="15" hidden="false" customHeight="false" outlineLevel="0" collapsed="false">
      <c r="A3" s="3" t="s">
        <v>96</v>
      </c>
      <c r="B3" s="3" t="s">
        <v>97</v>
      </c>
      <c r="C3" s="3" t="s">
        <v>98</v>
      </c>
      <c r="D3" s="3" t="s">
        <v>99</v>
      </c>
      <c r="E3" s="3" t="s">
        <v>100</v>
      </c>
      <c r="F3" s="3" t="s">
        <v>101</v>
      </c>
      <c r="G3" s="3" t="s">
        <v>102</v>
      </c>
      <c r="H3" s="3" t="s">
        <v>103</v>
      </c>
      <c r="I3" s="3" t="s">
        <v>104</v>
      </c>
    </row>
    <row r="4" customFormat="false" ht="15" hidden="false" customHeight="false" outlineLevel="0" collapsed="false">
      <c r="A4" s="4" t="s">
        <v>105</v>
      </c>
      <c r="B4" s="4" t="s">
        <v>106</v>
      </c>
      <c r="C4" s="4" t="s">
        <v>107</v>
      </c>
      <c r="D4" s="4" t="s">
        <v>108</v>
      </c>
      <c r="E4" s="11" t="n">
        <f aca="false">Supuestos!$B$18</f>
        <v>575520</v>
      </c>
      <c r="F4" s="11" t="n">
        <f aca="false">Supuestos!$B$20</f>
        <v>24</v>
      </c>
      <c r="G4" s="12" t="n">
        <f aca="false">F4*(Supuestos!$B$15-'Costos por litro'!$D$4)-Supuestos!$B$14*Supuestos!$B$13</f>
        <v>77190.9192645883</v>
      </c>
      <c r="H4" s="12" t="n">
        <f aca="false">IF(G4&lt;=0,"no cubre",ROUNDUP(E4/G4,0))</f>
        <v>8</v>
      </c>
      <c r="I4" s="12" t="n">
        <f aca="false">IF(ISNUMBER(H4),H4*F4,"-")</f>
        <v>192</v>
      </c>
    </row>
    <row r="5" customFormat="false" ht="15" hidden="false" customHeight="false" outlineLevel="0" collapsed="false">
      <c r="A5" s="4" t="s">
        <v>105</v>
      </c>
      <c r="B5" s="4" t="s">
        <v>106</v>
      </c>
      <c r="C5" s="4" t="s">
        <v>107</v>
      </c>
      <c r="D5" s="4" t="s">
        <v>109</v>
      </c>
      <c r="E5" s="11" t="n">
        <f aca="false">Supuestos!$B$18</f>
        <v>575520</v>
      </c>
      <c r="F5" s="11" t="n">
        <f aca="false">Supuestos!$B$21</f>
        <v>10</v>
      </c>
      <c r="G5" s="12" t="n">
        <f aca="false">F5*(Supuestos!$B$15-'Costos por litro'!$D$4)-Supuestos!$B$14*Supuestos!$B$13</f>
        <v>22129.5496935785</v>
      </c>
      <c r="H5" s="12" t="n">
        <f aca="false">IF(G5&lt;=0,"no cubre",ROUNDUP(E5/G5,0))</f>
        <v>27</v>
      </c>
      <c r="I5" s="12" t="n">
        <f aca="false">IF(ISNUMBER(H5),H5*F5,"-")</f>
        <v>270</v>
      </c>
    </row>
    <row r="6" customFormat="false" ht="15" hidden="false" customHeight="false" outlineLevel="0" collapsed="false">
      <c r="A6" s="4" t="s">
        <v>105</v>
      </c>
      <c r="B6" s="4" t="s">
        <v>106</v>
      </c>
      <c r="C6" s="4" t="s">
        <v>110</v>
      </c>
      <c r="D6" s="4" t="s">
        <v>108</v>
      </c>
      <c r="E6" s="11" t="n">
        <f aca="false">Supuestos!$B$18</f>
        <v>575520</v>
      </c>
      <c r="F6" s="11" t="n">
        <f aca="false">Supuestos!$B$22</f>
        <v>16</v>
      </c>
      <c r="G6" s="12" t="n">
        <f aca="false">F6*(Supuestos!$B$15-'Costos por litro'!$D$4)-Supuestos!$B$14*Supuestos!$B$13</f>
        <v>45727.2795097256</v>
      </c>
      <c r="H6" s="12" t="n">
        <f aca="false">IF(G6&lt;=0,"no cubre",ROUNDUP(E6/G6,0))</f>
        <v>13</v>
      </c>
      <c r="I6" s="12" t="n">
        <f aca="false">IF(ISNUMBER(H6),H6*F6,"-")</f>
        <v>208</v>
      </c>
    </row>
    <row r="7" customFormat="false" ht="15" hidden="false" customHeight="false" outlineLevel="0" collapsed="false">
      <c r="A7" s="4" t="s">
        <v>105</v>
      </c>
      <c r="B7" s="4" t="s">
        <v>106</v>
      </c>
      <c r="C7" s="4" t="s">
        <v>110</v>
      </c>
      <c r="D7" s="4" t="s">
        <v>109</v>
      </c>
      <c r="E7" s="11" t="n">
        <f aca="false">Supuestos!$B$18</f>
        <v>575520</v>
      </c>
      <c r="F7" s="11" t="n">
        <f aca="false">Supuestos!$B$23</f>
        <v>8</v>
      </c>
      <c r="G7" s="12" t="n">
        <f aca="false">F7*(Supuestos!$B$15-'Costos por litro'!$D$4)-Supuestos!$B$14*Supuestos!$B$13</f>
        <v>14263.6397548628</v>
      </c>
      <c r="H7" s="12" t="n">
        <f aca="false">IF(G7&lt;=0,"no cubre",ROUNDUP(E7/G7,0))</f>
        <v>41</v>
      </c>
      <c r="I7" s="12" t="n">
        <f aca="false">IF(ISNUMBER(H7),H7*F7,"-")</f>
        <v>328</v>
      </c>
    </row>
    <row r="8" customFormat="false" ht="15" hidden="false" customHeight="false" outlineLevel="0" collapsed="false">
      <c r="A8" s="4" t="s">
        <v>105</v>
      </c>
      <c r="B8" s="4" t="s">
        <v>111</v>
      </c>
      <c r="C8" s="4" t="s">
        <v>107</v>
      </c>
      <c r="D8" s="4" t="s">
        <v>108</v>
      </c>
      <c r="E8" s="11" t="n">
        <f aca="false">Supuestos!$B$18+Supuestos!$B$17</f>
        <v>975520</v>
      </c>
      <c r="F8" s="11" t="n">
        <f aca="false">Supuestos!$B$20</f>
        <v>24</v>
      </c>
      <c r="G8" s="12" t="n">
        <f aca="false">F8*(Supuestos!$B$15-'Costos por litro'!$D$4)-Supuestos!$B$14*Supuestos!$B$13</f>
        <v>77190.9192645883</v>
      </c>
      <c r="H8" s="12" t="n">
        <f aca="false">IF(G8&lt;=0,"no cubre",ROUNDUP(E8/G8,0))</f>
        <v>13</v>
      </c>
      <c r="I8" s="12" t="n">
        <f aca="false">IF(ISNUMBER(H8),H8*F8,"-")</f>
        <v>312</v>
      </c>
    </row>
    <row r="9" customFormat="false" ht="15" hidden="false" customHeight="false" outlineLevel="0" collapsed="false">
      <c r="A9" s="4" t="s">
        <v>105</v>
      </c>
      <c r="B9" s="4" t="s">
        <v>111</v>
      </c>
      <c r="C9" s="4" t="s">
        <v>107</v>
      </c>
      <c r="D9" s="4" t="s">
        <v>109</v>
      </c>
      <c r="E9" s="11" t="n">
        <f aca="false">Supuestos!$B$18+Supuestos!$B$17</f>
        <v>975520</v>
      </c>
      <c r="F9" s="11" t="n">
        <f aca="false">Supuestos!$B$21</f>
        <v>10</v>
      </c>
      <c r="G9" s="12" t="n">
        <f aca="false">F9*(Supuestos!$B$15-'Costos por litro'!$D$4)-Supuestos!$B$14*Supuestos!$B$13</f>
        <v>22129.5496935785</v>
      </c>
      <c r="H9" s="12" t="n">
        <f aca="false">IF(G9&lt;=0,"no cubre",ROUNDUP(E9/G9,0))</f>
        <v>45</v>
      </c>
      <c r="I9" s="12" t="n">
        <f aca="false">IF(ISNUMBER(H9),H9*F9,"-")</f>
        <v>450</v>
      </c>
    </row>
    <row r="10" customFormat="false" ht="15" hidden="false" customHeight="false" outlineLevel="0" collapsed="false">
      <c r="A10" s="4" t="s">
        <v>105</v>
      </c>
      <c r="B10" s="4" t="s">
        <v>111</v>
      </c>
      <c r="C10" s="4" t="s">
        <v>110</v>
      </c>
      <c r="D10" s="4" t="s">
        <v>108</v>
      </c>
      <c r="E10" s="11" t="n">
        <f aca="false">Supuestos!$B$18+Supuestos!$B$17</f>
        <v>975520</v>
      </c>
      <c r="F10" s="11" t="n">
        <f aca="false">Supuestos!$B$22</f>
        <v>16</v>
      </c>
      <c r="G10" s="12" t="n">
        <f aca="false">F10*(Supuestos!$B$15-'Costos por litro'!$D$4)-Supuestos!$B$14*Supuestos!$B$13</f>
        <v>45727.2795097256</v>
      </c>
      <c r="H10" s="12" t="n">
        <f aca="false">IF(G10&lt;=0,"no cubre",ROUNDUP(E10/G10,0))</f>
        <v>22</v>
      </c>
      <c r="I10" s="12" t="n">
        <f aca="false">IF(ISNUMBER(H10),H10*F10,"-")</f>
        <v>352</v>
      </c>
    </row>
    <row r="11" customFormat="false" ht="15" hidden="false" customHeight="false" outlineLevel="0" collapsed="false">
      <c r="A11" s="4" t="s">
        <v>105</v>
      </c>
      <c r="B11" s="4" t="s">
        <v>111</v>
      </c>
      <c r="C11" s="4" t="s">
        <v>110</v>
      </c>
      <c r="D11" s="4" t="s">
        <v>109</v>
      </c>
      <c r="E11" s="11" t="n">
        <f aca="false">Supuestos!$B$18+Supuestos!$B$17</f>
        <v>975520</v>
      </c>
      <c r="F11" s="11" t="n">
        <f aca="false">Supuestos!$B$23</f>
        <v>8</v>
      </c>
      <c r="G11" s="12" t="n">
        <f aca="false">F11*(Supuestos!$B$15-'Costos por litro'!$D$4)-Supuestos!$B$14*Supuestos!$B$13</f>
        <v>14263.6397548628</v>
      </c>
      <c r="H11" s="12" t="n">
        <f aca="false">IF(G11&lt;=0,"no cubre",ROUNDUP(E11/G11,0))</f>
        <v>69</v>
      </c>
      <c r="I11" s="12" t="n">
        <f aca="false">IF(ISNUMBER(H11),H11*F11,"-")</f>
        <v>552</v>
      </c>
    </row>
    <row r="12" customFormat="false" ht="15" hidden="false" customHeight="false" outlineLevel="0" collapsed="false">
      <c r="A12" s="4" t="s">
        <v>112</v>
      </c>
      <c r="B12" s="4" t="s">
        <v>106</v>
      </c>
      <c r="C12" s="4" t="s">
        <v>107</v>
      </c>
      <c r="D12" s="4" t="s">
        <v>108</v>
      </c>
      <c r="E12" s="11" t="n">
        <f aca="false">Supuestos!$B$19</f>
        <v>1138000</v>
      </c>
      <c r="F12" s="11" t="n">
        <f aca="false">Supuestos!$B$20</f>
        <v>24</v>
      </c>
      <c r="G12" s="12" t="n">
        <f aca="false">F12*(Supuestos!$B$15-'Costos por litro'!$D$4)-Supuestos!$B$14*Supuestos!$B$13</f>
        <v>77190.9192645883</v>
      </c>
      <c r="H12" s="12" t="n">
        <f aca="false">IF(G12&lt;=0,"no cubre",ROUNDUP(E12/G12,0))</f>
        <v>15</v>
      </c>
      <c r="I12" s="12" t="n">
        <f aca="false">IF(ISNUMBER(H12),H12*F12,"-")</f>
        <v>360</v>
      </c>
    </row>
    <row r="13" customFormat="false" ht="15" hidden="false" customHeight="false" outlineLevel="0" collapsed="false">
      <c r="A13" s="4" t="s">
        <v>112</v>
      </c>
      <c r="B13" s="4" t="s">
        <v>106</v>
      </c>
      <c r="C13" s="4" t="s">
        <v>107</v>
      </c>
      <c r="D13" s="4" t="s">
        <v>109</v>
      </c>
      <c r="E13" s="11" t="n">
        <f aca="false">Supuestos!$B$19</f>
        <v>1138000</v>
      </c>
      <c r="F13" s="11" t="n">
        <f aca="false">Supuestos!$B$21</f>
        <v>10</v>
      </c>
      <c r="G13" s="12" t="n">
        <f aca="false">F13*(Supuestos!$B$15-'Costos por litro'!$D$4)-Supuestos!$B$14*Supuestos!$B$13</f>
        <v>22129.5496935785</v>
      </c>
      <c r="H13" s="12" t="n">
        <f aca="false">IF(G13&lt;=0,"no cubre",ROUNDUP(E13/G13,0))</f>
        <v>52</v>
      </c>
      <c r="I13" s="12" t="n">
        <f aca="false">IF(ISNUMBER(H13),H13*F13,"-")</f>
        <v>520</v>
      </c>
    </row>
    <row r="14" customFormat="false" ht="15" hidden="false" customHeight="false" outlineLevel="0" collapsed="false">
      <c r="A14" s="4" t="s">
        <v>112</v>
      </c>
      <c r="B14" s="4" t="s">
        <v>106</v>
      </c>
      <c r="C14" s="4" t="s">
        <v>110</v>
      </c>
      <c r="D14" s="4" t="s">
        <v>108</v>
      </c>
      <c r="E14" s="11" t="n">
        <f aca="false">Supuestos!$B$19</f>
        <v>1138000</v>
      </c>
      <c r="F14" s="11" t="n">
        <f aca="false">Supuestos!$B$22</f>
        <v>16</v>
      </c>
      <c r="G14" s="12" t="n">
        <f aca="false">F14*(Supuestos!$B$15-'Costos por litro'!$D$4)-Supuestos!$B$14*Supuestos!$B$13</f>
        <v>45727.2795097256</v>
      </c>
      <c r="H14" s="12" t="n">
        <f aca="false">IF(G14&lt;=0,"no cubre",ROUNDUP(E14/G14,0))</f>
        <v>25</v>
      </c>
      <c r="I14" s="12" t="n">
        <f aca="false">IF(ISNUMBER(H14),H14*F14,"-")</f>
        <v>400</v>
      </c>
    </row>
    <row r="15" customFormat="false" ht="15" hidden="false" customHeight="false" outlineLevel="0" collapsed="false">
      <c r="A15" s="4" t="s">
        <v>112</v>
      </c>
      <c r="B15" s="4" t="s">
        <v>106</v>
      </c>
      <c r="C15" s="4" t="s">
        <v>110</v>
      </c>
      <c r="D15" s="4" t="s">
        <v>109</v>
      </c>
      <c r="E15" s="11" t="n">
        <f aca="false">Supuestos!$B$19</f>
        <v>1138000</v>
      </c>
      <c r="F15" s="11" t="n">
        <f aca="false">Supuestos!$B$23</f>
        <v>8</v>
      </c>
      <c r="G15" s="12" t="n">
        <f aca="false">F15*(Supuestos!$B$15-'Costos por litro'!$D$4)-Supuestos!$B$14*Supuestos!$B$13</f>
        <v>14263.6397548628</v>
      </c>
      <c r="H15" s="12" t="n">
        <f aca="false">IF(G15&lt;=0,"no cubre",ROUNDUP(E15/G15,0))</f>
        <v>80</v>
      </c>
      <c r="I15" s="12" t="n">
        <f aca="false">IF(ISNUMBER(H15),H15*F15,"-")</f>
        <v>640</v>
      </c>
    </row>
    <row r="16" customFormat="false" ht="15" hidden="false" customHeight="false" outlineLevel="0" collapsed="false">
      <c r="A16" s="4" t="s">
        <v>112</v>
      </c>
      <c r="B16" s="4" t="s">
        <v>111</v>
      </c>
      <c r="C16" s="4" t="s">
        <v>107</v>
      </c>
      <c r="D16" s="4" t="s">
        <v>108</v>
      </c>
      <c r="E16" s="11" t="n">
        <f aca="false">Supuestos!$B$19+Supuestos!$B$17</f>
        <v>1538000</v>
      </c>
      <c r="F16" s="11" t="n">
        <f aca="false">Supuestos!$B$20</f>
        <v>24</v>
      </c>
      <c r="G16" s="12" t="n">
        <f aca="false">F16*(Supuestos!$B$15-'Costos por litro'!$D$4)-Supuestos!$B$14*Supuestos!$B$13</f>
        <v>77190.9192645883</v>
      </c>
      <c r="H16" s="12" t="n">
        <f aca="false">IF(G16&lt;=0,"no cubre",ROUNDUP(E16/G16,0))</f>
        <v>20</v>
      </c>
      <c r="I16" s="12" t="n">
        <f aca="false">IF(ISNUMBER(H16),H16*F16,"-")</f>
        <v>480</v>
      </c>
    </row>
    <row r="17" customFormat="false" ht="15" hidden="false" customHeight="false" outlineLevel="0" collapsed="false">
      <c r="A17" s="4" t="s">
        <v>112</v>
      </c>
      <c r="B17" s="4" t="s">
        <v>111</v>
      </c>
      <c r="C17" s="4" t="s">
        <v>107</v>
      </c>
      <c r="D17" s="4" t="s">
        <v>109</v>
      </c>
      <c r="E17" s="11" t="n">
        <f aca="false">Supuestos!$B$19+Supuestos!$B$17</f>
        <v>1538000</v>
      </c>
      <c r="F17" s="11" t="n">
        <f aca="false">Supuestos!$B$21</f>
        <v>10</v>
      </c>
      <c r="G17" s="12" t="n">
        <f aca="false">F17*(Supuestos!$B$15-'Costos por litro'!$D$4)-Supuestos!$B$14*Supuestos!$B$13</f>
        <v>22129.5496935785</v>
      </c>
      <c r="H17" s="12" t="n">
        <f aca="false">IF(G17&lt;=0,"no cubre",ROUNDUP(E17/G17,0))</f>
        <v>70</v>
      </c>
      <c r="I17" s="12" t="n">
        <f aca="false">IF(ISNUMBER(H17),H17*F17,"-")</f>
        <v>700</v>
      </c>
    </row>
    <row r="18" customFormat="false" ht="15" hidden="false" customHeight="false" outlineLevel="0" collapsed="false">
      <c r="A18" s="4" t="s">
        <v>112</v>
      </c>
      <c r="B18" s="4" t="s">
        <v>111</v>
      </c>
      <c r="C18" s="4" t="s">
        <v>110</v>
      </c>
      <c r="D18" s="4" t="s">
        <v>108</v>
      </c>
      <c r="E18" s="11" t="n">
        <f aca="false">Supuestos!$B$19+Supuestos!$B$17</f>
        <v>1538000</v>
      </c>
      <c r="F18" s="11" t="n">
        <f aca="false">Supuestos!$B$22</f>
        <v>16</v>
      </c>
      <c r="G18" s="12" t="n">
        <f aca="false">F18*(Supuestos!$B$15-'Costos por litro'!$D$4)-Supuestos!$B$14*Supuestos!$B$13</f>
        <v>45727.2795097256</v>
      </c>
      <c r="H18" s="12" t="n">
        <f aca="false">IF(G18&lt;=0,"no cubre",ROUNDUP(E18/G18,0))</f>
        <v>34</v>
      </c>
      <c r="I18" s="12" t="n">
        <f aca="false">IF(ISNUMBER(H18),H18*F18,"-")</f>
        <v>544</v>
      </c>
    </row>
    <row r="19" customFormat="false" ht="15" hidden="false" customHeight="false" outlineLevel="0" collapsed="false">
      <c r="A19" s="4" t="s">
        <v>112</v>
      </c>
      <c r="B19" s="4" t="s">
        <v>111</v>
      </c>
      <c r="C19" s="4" t="s">
        <v>110</v>
      </c>
      <c r="D19" s="4" t="s">
        <v>109</v>
      </c>
      <c r="E19" s="11" t="n">
        <f aca="false">Supuestos!$B$19+Supuestos!$B$17</f>
        <v>1538000</v>
      </c>
      <c r="F19" s="11" t="n">
        <f aca="false">Supuestos!$B$23</f>
        <v>8</v>
      </c>
      <c r="G19" s="12" t="n">
        <f aca="false">F19*(Supuestos!$B$15-'Costos por litro'!$D$4)-Supuestos!$B$14*Supuestos!$B$13</f>
        <v>14263.6397548628</v>
      </c>
      <c r="H19" s="12" t="n">
        <f aca="false">IF(G19&lt;=0,"no cubre",ROUNDUP(E19/G19,0))</f>
        <v>108</v>
      </c>
      <c r="I19" s="12" t="n">
        <f aca="false">IF(ISNUMBER(H19),H19*F19,"-")</f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32"/>
  </cols>
  <sheetData>
    <row r="1" customFormat="false" ht="17.35" hidden="false" customHeight="false" outlineLevel="0" collapsed="false">
      <c r="A1" s="1" t="s">
        <v>113</v>
      </c>
    </row>
    <row r="3" customFormat="false" ht="15" hidden="false" customHeight="false" outlineLevel="0" collapsed="false">
      <c r="A3" s="3" t="s">
        <v>96</v>
      </c>
      <c r="B3" s="3" t="s">
        <v>114</v>
      </c>
      <c r="C3" s="3" t="s">
        <v>115</v>
      </c>
    </row>
    <row r="4" customFormat="false" ht="15" hidden="false" customHeight="false" outlineLevel="0" collapsed="false">
      <c r="A4" s="4" t="s">
        <v>105</v>
      </c>
      <c r="B4" s="6" t="n">
        <v>500</v>
      </c>
      <c r="C4" s="12" t="n">
        <f aca="false">(Supuestos!$B$18+Supuestos!$B$17)/B4+Supuestos!$B$8+Supuestos!$B$7</f>
        <v>2137.04</v>
      </c>
    </row>
    <row r="5" customFormat="false" ht="15" hidden="false" customHeight="false" outlineLevel="0" collapsed="false">
      <c r="A5" s="4" t="s">
        <v>105</v>
      </c>
      <c r="B5" s="6" t="n">
        <v>1000</v>
      </c>
      <c r="C5" s="12" t="n">
        <f aca="false">(Supuestos!$B$18+Supuestos!$B$17)/B5+Supuestos!$B$8+Supuestos!$B$7</f>
        <v>1161.52</v>
      </c>
    </row>
    <row r="6" customFormat="false" ht="15" hidden="false" customHeight="false" outlineLevel="0" collapsed="false">
      <c r="A6" s="4" t="s">
        <v>105</v>
      </c>
      <c r="B6" s="6" t="n">
        <v>3000</v>
      </c>
      <c r="C6" s="12" t="n">
        <f aca="false">(Supuestos!$B$18+Supuestos!$B$17)/B6+Supuestos!$B$8+Supuestos!$B$7</f>
        <v>511.173333333333</v>
      </c>
    </row>
    <row r="7" customFormat="false" ht="15" hidden="false" customHeight="false" outlineLevel="0" collapsed="false">
      <c r="A7" s="4" t="s">
        <v>112</v>
      </c>
      <c r="B7" s="6" t="n">
        <v>500</v>
      </c>
      <c r="C7" s="12" t="n">
        <f aca="false">(Supuestos!$B$19+Supuestos!$B$17)/B7+Supuestos!$B$8+Supuestos!$B$7</f>
        <v>3262</v>
      </c>
    </row>
    <row r="8" customFormat="false" ht="15" hidden="false" customHeight="false" outlineLevel="0" collapsed="false">
      <c r="A8" s="4" t="s">
        <v>112</v>
      </c>
      <c r="B8" s="6" t="n">
        <v>1000</v>
      </c>
      <c r="C8" s="12" t="n">
        <f aca="false">(Supuestos!$B$19+Supuestos!$B$17)/B8+Supuestos!$B$8+Supuestos!$B$7</f>
        <v>1724</v>
      </c>
    </row>
    <row r="9" customFormat="false" ht="15" hidden="false" customHeight="false" outlineLevel="0" collapsed="false">
      <c r="A9" s="4" t="s">
        <v>112</v>
      </c>
      <c r="B9" s="6" t="n">
        <v>3000</v>
      </c>
      <c r="C9" s="12" t="n">
        <f aca="false">(Supuestos!$B$19+Supuestos!$B$17)/B9+Supuestos!$B$8+Supuestos!$B$7</f>
        <v>698.666666666667</v>
      </c>
    </row>
    <row r="11" customFormat="false" ht="15" hidden="false" customHeight="false" outlineLevel="0" collapsed="false">
      <c r="A11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3" t="s">
        <v>118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119</v>
      </c>
      <c r="B4" s="12" t="n">
        <f aca="false">(Supuestos!$B$5/Supuestos!$B$4+Supuestos!$B$7)/(1-Supuestos!$B$11)+Supuestos!$B$25*Supuestos!$B$26/10</f>
        <v>5700.37836397549</v>
      </c>
      <c r="C4" s="4" t="s">
        <v>17</v>
      </c>
    </row>
    <row r="5" customFormat="false" ht="15" hidden="false" customHeight="false" outlineLevel="0" collapsed="false">
      <c r="A5" s="4" t="s">
        <v>120</v>
      </c>
      <c r="B5" s="12" t="n">
        <f aca="false">Supuestos!$B$15*Supuestos!$B$12/1000</f>
        <v>720</v>
      </c>
      <c r="C5" s="4" t="s">
        <v>121</v>
      </c>
    </row>
    <row r="6" customFormat="false" ht="15" hidden="false" customHeight="false" outlineLevel="0" collapsed="false">
      <c r="A6" s="4" t="s">
        <v>122</v>
      </c>
      <c r="B6" s="13" t="n">
        <f aca="false">1-B5/Supuestos!$B$24</f>
        <v>0.805405405405405</v>
      </c>
      <c r="C6" s="4" t="s">
        <v>123</v>
      </c>
    </row>
    <row r="7" customFormat="false" ht="15" hidden="false" customHeight="false" outlineLevel="0" collapsed="false">
      <c r="A7" s="4" t="s">
        <v>124</v>
      </c>
      <c r="B7" s="12" t="n">
        <f aca="false">Supuestos!$B$27*Supuestos!$B$28*(1+Supuestos!$B$29)+Supuestos!$B$30+Supuestos!$B$31+Supuestos!$B$32+Supuestos!$B$33</f>
        <v>7493290</v>
      </c>
      <c r="C7" s="4" t="s">
        <v>56</v>
      </c>
    </row>
    <row r="8" customFormat="false" ht="15" hidden="false" customHeight="false" outlineLevel="0" collapsed="false">
      <c r="A8" s="4" t="s">
        <v>125</v>
      </c>
      <c r="B8" s="12" t="n">
        <f aca="false">Supuestos!$B$34*Supuestos!$B$35*(1+Supuestos!$B$29)</f>
        <v>690274.09022</v>
      </c>
      <c r="C8" s="4" t="s">
        <v>126</v>
      </c>
    </row>
    <row r="9" customFormat="false" ht="15" hidden="false" customHeight="false" outlineLevel="0" collapsed="false">
      <c r="A9" s="4" t="s">
        <v>127</v>
      </c>
      <c r="B9" s="14" t="n">
        <f aca="false">IF(Equilibrio!G4&lt;=0,"no se recupera",B8/Equilibrio!G4)</f>
        <v>8.94242608840994</v>
      </c>
      <c r="C9" s="4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2026-10-22T03:45:08Z</dcterms:created>
  <dc:creator>openpyxl</dc:creator>
  <dc:description/>
  <dc:language>en-US</dc:language>
  <cp:lastModifiedBy/>
  <dcterms:modified xsi:type="dcterms:W3CDTF">2026-10-22T03:45:08Z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